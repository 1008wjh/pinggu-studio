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原电脑E\E\神舟软件2026\26年账\梅柯德电气12\梅柯德电气12\梅柯德电气12\2024神舟软件\报表\"/>
    </mc:Choice>
  </mc:AlternateContent>
  <bookViews>
    <workbookView windowWidth="27945" windowHeight="12375" tabRatio="780"/>
  </bookViews>
  <sheets>
    <sheet name="资产负债表" sheetId="1" r:id="rId1"/>
    <sheet name="利润表" sheetId="2" r:id="rId2"/>
    <sheet name="现金流量表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<sst xmlns="http://schemas.openxmlformats.org/spreadsheetml/2006/main" count="169" uniqueCount="153">
  <si>
    <t>资产负债表</t>
  </si>
  <si>
    <t xml:space="preserve">编制单位: </t>
  </si>
  <si>
    <t>会小企01表</t>
  </si>
  <si>
    <t>2026年3月31日.</t>
  </si>
  <si>
    <t>单位：元</t>
  </si>
  <si>
    <t>资     产</t>
  </si>
  <si>
    <t>行</t>
  </si>
  <si>
    <t>期末余额</t>
  </si>
  <si>
    <t>年初余额</t>
  </si>
  <si>
    <t>负债和所有者权益</t>
  </si>
  <si>
    <t>次</t>
  </si>
  <si>
    <t>流动资产：</t>
  </si>
  <si>
    <t>流动负债：</t>
  </si>
  <si>
    <t xml:space="preserve">  货币资金</t>
  </si>
  <si>
    <t xml:space="preserve">  短期借款</t>
  </si>
  <si>
    <t xml:space="preserve">  短期投资</t>
  </si>
  <si>
    <t xml:space="preserve">  应付票据</t>
  </si>
  <si>
    <t xml:space="preserve">  应收票据</t>
  </si>
  <si>
    <t xml:space="preserve">  应付账款</t>
  </si>
  <si>
    <t xml:space="preserve">  应收账款</t>
  </si>
  <si>
    <t xml:space="preserve">  预收账款</t>
  </si>
  <si>
    <t xml:space="preserve">  预付账款</t>
  </si>
  <si>
    <t xml:space="preserve">  应付职工薪酬</t>
  </si>
  <si>
    <t xml:space="preserve">  应收股利</t>
  </si>
  <si>
    <t xml:space="preserve">  应交税费</t>
  </si>
  <si>
    <t xml:space="preserve">  应收利息</t>
  </si>
  <si>
    <t xml:space="preserve">  应付利息</t>
  </si>
  <si>
    <t xml:space="preserve">  其他应收款</t>
  </si>
  <si>
    <t xml:space="preserve">  应付利润</t>
  </si>
  <si>
    <t xml:space="preserve">  存货</t>
  </si>
  <si>
    <t xml:space="preserve">  其他应付款</t>
  </si>
  <si>
    <t xml:space="preserve">    其中：原材料</t>
  </si>
  <si>
    <t xml:space="preserve">  其他流动负债</t>
  </si>
  <si>
    <t xml:space="preserve">          在产品</t>
  </si>
  <si>
    <t>流动负债合计</t>
  </si>
  <si>
    <t xml:space="preserve">          库存商品</t>
  </si>
  <si>
    <t>非流动负债：</t>
  </si>
  <si>
    <t xml:space="preserve">          周转材料</t>
  </si>
  <si>
    <t xml:space="preserve">  长期借款</t>
  </si>
  <si>
    <t xml:space="preserve">  其他流动资产</t>
  </si>
  <si>
    <t xml:space="preserve">  长期应付款</t>
  </si>
  <si>
    <t>流动资产合计</t>
  </si>
  <si>
    <t xml:space="preserve">  递延收益</t>
  </si>
  <si>
    <t>非流动资产：</t>
  </si>
  <si>
    <t xml:space="preserve">  其他非流动负债</t>
  </si>
  <si>
    <t xml:space="preserve">  长期债券投资</t>
  </si>
  <si>
    <t>非流动负债合计</t>
  </si>
  <si>
    <t xml:space="preserve">  长期股权投资</t>
  </si>
  <si>
    <t>负债合计</t>
  </si>
  <si>
    <t xml:space="preserve">  固定资产原价</t>
  </si>
  <si>
    <t xml:space="preserve">  减：累计折旧</t>
  </si>
  <si>
    <t xml:space="preserve">  固定资产账面价值</t>
  </si>
  <si>
    <t xml:space="preserve">  在建工程</t>
  </si>
  <si>
    <t xml:space="preserve">  工程物资</t>
  </si>
  <si>
    <t xml:space="preserve">  固定资产清理</t>
  </si>
  <si>
    <t xml:space="preserve">  生产性生物资产</t>
  </si>
  <si>
    <t>所有者权益（或股东权益）</t>
  </si>
  <si>
    <t xml:space="preserve">  无形资产</t>
  </si>
  <si>
    <t xml:space="preserve">  实收资本（或股本）</t>
  </si>
  <si>
    <t xml:space="preserve">  开发支出</t>
  </si>
  <si>
    <t xml:space="preserve">  资本公积</t>
  </si>
  <si>
    <t xml:space="preserve">  长期待摊费用</t>
  </si>
  <si>
    <t xml:space="preserve">  盈余公积</t>
  </si>
  <si>
    <t xml:space="preserve">  其他非流动资产</t>
  </si>
  <si>
    <t xml:space="preserve">  未分配利润</t>
  </si>
  <si>
    <t>非流动资产合计</t>
  </si>
  <si>
    <t>所有者权益（或股东权益）合计</t>
  </si>
  <si>
    <t>资产总计</t>
  </si>
  <si>
    <t>负债和所有者权益（或股东权益）总计</t>
  </si>
  <si>
    <t>利 润 表</t>
  </si>
  <si>
    <t xml:space="preserve"> 会小企02表</t>
  </si>
  <si>
    <t>2026年3月.</t>
  </si>
  <si>
    <t>项      目</t>
  </si>
  <si>
    <t>行次</t>
  </si>
  <si>
    <t>本月金额</t>
  </si>
  <si>
    <t>本季金额</t>
  </si>
  <si>
    <t>本年累计金额</t>
  </si>
  <si>
    <t>一、营业收入</t>
  </si>
  <si>
    <t>减：营业成本</t>
  </si>
  <si>
    <t xml:space="preserve">    税金及附加</t>
  </si>
  <si>
    <t xml:space="preserve">    其中：消费税</t>
  </si>
  <si>
    <t xml:space="preserve">          营业税</t>
  </si>
  <si>
    <t xml:space="preserve">          城市维护建设税</t>
  </si>
  <si>
    <t xml:space="preserve">          资源税</t>
  </si>
  <si>
    <t xml:space="preserve">          土地增值税</t>
  </si>
  <si>
    <t xml:space="preserve">          城镇土地使用税、房产税、车船税、印花税</t>
  </si>
  <si>
    <t xml:space="preserve">          教育费附加、矿产资源补偿费、排污费</t>
  </si>
  <si>
    <t xml:space="preserve">    销售费用</t>
  </si>
  <si>
    <t xml:space="preserve">    其中：商品维修费</t>
  </si>
  <si>
    <t xml:space="preserve">          广告费和业务宣传费</t>
  </si>
  <si>
    <t xml:space="preserve">    管理费用</t>
  </si>
  <si>
    <t xml:space="preserve">    其中：开办费</t>
  </si>
  <si>
    <t xml:space="preserve">          业务招待费</t>
  </si>
  <si>
    <t xml:space="preserve">          研究费用</t>
  </si>
  <si>
    <t xml:space="preserve">    财务费用</t>
  </si>
  <si>
    <t xml:space="preserve">    其中：利息费用（收入以“-”号填列）</t>
  </si>
  <si>
    <t>加：投资收益（损失以“-”号填列）</t>
  </si>
  <si>
    <t>二、营业利润（亏损以“-”号填列）</t>
  </si>
  <si>
    <t>加：营业外收入</t>
  </si>
  <si>
    <t>其中：政府补助</t>
  </si>
  <si>
    <t>减：营业外支出</t>
  </si>
  <si>
    <t xml:space="preserve">    其中：坏账损失</t>
  </si>
  <si>
    <t xml:space="preserve">          无法收回的长期债券投资损失</t>
  </si>
  <si>
    <t xml:space="preserve">          无法收回的长期股权投资损失</t>
  </si>
  <si>
    <t xml:space="preserve">          自然灾害等不可抗力因素造成的损失</t>
  </si>
  <si>
    <t xml:space="preserve">          税收滞纳金</t>
  </si>
  <si>
    <t>三、利润总额（亏损总额以“-”号填列）</t>
  </si>
  <si>
    <t>减：所得税费用</t>
  </si>
  <si>
    <t>四、净利润（净亏损以“-”号填列）</t>
  </si>
  <si>
    <t>现金流量表</t>
  </si>
  <si>
    <t>编制单位:</t>
  </si>
  <si>
    <t>会企小 03表</t>
  </si>
  <si>
    <t>单位:  元</t>
  </si>
  <si>
    <t>项　　目</t>
  </si>
  <si>
    <t>上年金额</t>
  </si>
  <si>
    <t>本年本月金额</t>
  </si>
  <si>
    <t>本年本季度金额</t>
  </si>
  <si>
    <t>一、经营活动产生的现金流量：</t>
  </si>
  <si>
    <t>　　销售商品、提供劳务收到的现金</t>
  </si>
  <si>
    <t>　　收到的税费返还</t>
  </si>
  <si>
    <t>　　收到的其他与经营活动有关的现金</t>
  </si>
  <si>
    <t>　　　　现金流入小计</t>
  </si>
  <si>
    <t>　　购买原材料、商品、接受劳务支付的现金</t>
  </si>
  <si>
    <t>　　支付的职工薪酬</t>
  </si>
  <si>
    <t>　　支付的各项税费</t>
  </si>
  <si>
    <t>　　支付的其他与经营活动有关的现金</t>
  </si>
  <si>
    <t>　　　　现金流出小计</t>
  </si>
  <si>
    <t>　　经营活动产生的现金流量净额</t>
  </si>
  <si>
    <t>二、投资活动产生的现金流量：</t>
  </si>
  <si>
    <t>　　收回投资收到的现金</t>
  </si>
  <si>
    <t>　　取得投资收益所收到的现金</t>
  </si>
  <si>
    <t>　　处置固定资产、无形资产和其他非流动资产收回的现金净额</t>
  </si>
  <si>
    <t>　　收到的其他与投资活动有关的现金</t>
  </si>
  <si>
    <t xml:space="preserve"> </t>
  </si>
  <si>
    <t>　　投资(短期投资、长期债券投资和长期股权投资)支付的现金</t>
  </si>
  <si>
    <t>　　购建固定资产、无形资产和其他非流动资产支付的现金</t>
  </si>
  <si>
    <t>　　支付的其他与投资活动有关的现金</t>
  </si>
  <si>
    <t>　　投资活动产生的现金流量净额</t>
  </si>
  <si>
    <t>三、筹资活动产生的现金流量：</t>
  </si>
  <si>
    <t>　　吸收投资所收到的现金</t>
  </si>
  <si>
    <t>　　取得借款收到的现金</t>
  </si>
  <si>
    <t>　　收到的其他与筹资活动有关的现金</t>
  </si>
  <si>
    <t>　　偿还借款（本金、利息）所支付的现金</t>
  </si>
  <si>
    <t>　　分配股利、利润或偿付利息所支付的现金</t>
  </si>
  <si>
    <t>　　支付的其他与筹资活动有关的现金</t>
  </si>
  <si>
    <t>　　筹资活动产生的现金流量净额</t>
  </si>
  <si>
    <t>四、汇率变动对现金的影响</t>
  </si>
  <si>
    <t>五、现金净增加额</t>
  </si>
  <si>
    <t>加：期初现金余额</t>
  </si>
  <si>
    <t>六、期末现金余额</t>
  </si>
  <si>
    <t>备注：由于流量表是从凭证分析而来，当报表为账套启用年时：</t>
  </si>
  <si>
    <t>　　1)当启用年不是1月份时，累计列无法准确。</t>
  </si>
  <si>
    <t>　　2)当启用月不等于季度的第一个月（即：不是1、4、7、10启用），且报表为该季度时，季度列无法准确。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</si>
</sst>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9">
    <font>
      <sz val="12"/>
      <name val="宋体"/>
      <charset val="134"/>
    </font>
    <font>
      <sz val="10"/>
      <name val="宋体"/>
      <charset val="134"/>
    </font>
    <font>
      <b/>
      <sz val="16"/>
      <name val="宋体"/>
      <charset val="134"/>
    </font>
    <font>
      <sz val="9"/>
      <name val="宋体"/>
      <charset val="134"/>
    </font>
    <font>
      <b/>
      <sz val="18"/>
      <name val="宋体"/>
      <charset val="134"/>
    </font>
    <font>
      <sz val="10.5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宋体"/>
      <charset val="134"/>
    </font>
    <font>
      <b/>
      <sz val="10.5"/>
      <color indexed="8"/>
      <name val="宋体"/>
      <charset val="134"/>
    </font>
    <font>
      <sz val="8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</fonts>
  <fills count="2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7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</cellStyleXfs>
  <cellXfs count="5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76" fontId="1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 vertical="center"/>
    </xf>
    <xf numFmtId="0" fontId="1" fillId="0" borderId="0" xfId="0" applyFont="1" applyBorder="1"/>
    <xf numFmtId="0" fontId="1" fillId="0" borderId="2" xfId="0" applyFont="1" applyBorder="1" applyAlignment="1">
      <alignment vertical="center"/>
    </xf>
    <xf numFmtId="0" fontId="1" fillId="0" borderId="0" xfId="0" applyFont="1" applyBorder="1" applyAlignment="1">
      <alignment horizontal="right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3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 applyProtection="1">
      <alignment horizontal="right" vertical="center"/>
      <protection locked="0"/>
    </xf>
    <xf numFmtId="176" fontId="9" fillId="2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176" fontId="9" fillId="3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CCFFFF"/>
      <color rgb="00CCFFC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7"/>
  <sheetViews>
    <sheetView showGridLines="0" tabSelected="1" zoomScaleSheetLayoutView="60" topLeftCell="A12" workbookViewId="0">
      <selection activeCell="L10" sqref="L10"/>
    </sheetView>
  </sheetViews>
  <sheetFormatPr defaultColWidth="9" defaultRowHeight="14.25"/>
  <cols>
    <col min="1" max="1" width="0.875" customWidth="1"/>
    <col min="2" max="2" width="16" customWidth="1"/>
    <col min="3" max="3" width="2.5" style="19" customWidth="1"/>
    <col min="4" max="4" width="12" style="19" customWidth="1"/>
    <col min="5" max="5" width="12" customWidth="1"/>
    <col min="6" max="6" width="20.625" customWidth="1"/>
    <col min="7" max="7" width="2.75" style="19" customWidth="1"/>
    <col min="8" max="8" width="12" style="19" customWidth="1"/>
    <col min="9" max="9" width="12" customWidth="1"/>
  </cols>
  <sheetData>
    <row r="1" ht="29.25" customHeight="1" spans="2:9">
      <c r="B1" s="20"/>
      <c r="C1" s="20"/>
      <c r="D1" s="20"/>
      <c r="E1" s="20" t="s">
        <v>0</v>
      </c>
      <c r="F1" s="20"/>
      <c r="G1" s="20"/>
      <c r="H1" s="20"/>
      <c r="I1" s="20"/>
    </row>
    <row r="2" ht="12" customHeight="1" spans="2:9">
      <c r="B2" s="36" t="s">
        <v>1</v>
      </c>
      <c r="C2" s="37"/>
      <c r="D2" s="38"/>
      <c r="E2" s="38"/>
      <c r="F2" s="39"/>
      <c r="G2" s="40"/>
      <c r="H2" s="41"/>
      <c r="I2" s="41" t="s">
        <v>2</v>
      </c>
    </row>
    <row r="3" s="18" customFormat="1" ht="16.5" customHeight="1" spans="2:9">
      <c r="B3" s="42"/>
      <c r="C3" s="42"/>
      <c r="D3" s="42"/>
      <c r="E3" s="42" t="s">
        <v>3</v>
      </c>
      <c r="F3" s="43"/>
      <c r="G3" s="44"/>
      <c r="H3" s="45"/>
      <c r="I3" s="45" t="s">
        <v>4</v>
      </c>
    </row>
    <row r="4" customHeight="1" spans="2:9">
      <c r="B4" s="46" t="s">
        <v>5</v>
      </c>
      <c r="C4" s="47" t="s">
        <v>6</v>
      </c>
      <c r="D4" s="46" t="s">
        <v>7</v>
      </c>
      <c r="E4" s="46" t="s">
        <v>8</v>
      </c>
      <c r="F4" s="46" t="s">
        <v>9</v>
      </c>
      <c r="G4" s="47" t="s">
        <v>6</v>
      </c>
      <c r="H4" s="46" t="s">
        <v>7</v>
      </c>
      <c r="I4" s="46" t="s">
        <v>8</v>
      </c>
    </row>
    <row r="5" spans="2:9">
      <c r="B5" s="48"/>
      <c r="C5" s="48" t="s">
        <v>10</v>
      </c>
      <c r="D5" s="48"/>
      <c r="E5" s="48"/>
      <c r="F5" s="48"/>
      <c r="G5" s="48" t="s">
        <v>10</v>
      </c>
      <c r="H5" s="48"/>
      <c r="I5" s="48"/>
    </row>
    <row r="6" s="18" customFormat="1" ht="17.25" customHeight="1" spans="2:9">
      <c r="B6" s="33" t="s">
        <v>11</v>
      </c>
      <c r="C6" s="49"/>
      <c r="D6" s="50"/>
      <c r="E6" s="50"/>
      <c r="F6" s="33" t="s">
        <v>12</v>
      </c>
      <c r="G6" s="49"/>
      <c r="H6" s="50"/>
      <c r="I6" s="50"/>
    </row>
    <row r="7" s="18" customFormat="1" ht="17.25" customHeight="1" spans="2:9">
      <c r="B7" s="33" t="s">
        <v>13</v>
      </c>
      <c r="C7" s="49">
        <v>1</v>
      </c>
      <c r="D7" s="50">
        <v>96290.29</v>
      </c>
      <c r="E7" s="50">
        <v>142126.62</v>
      </c>
      <c r="F7" s="33" t="s">
        <v>14</v>
      </c>
      <c r="G7" s="49">
        <v>31</v>
      </c>
      <c r="H7" s="50">
        <v>4170000</v>
      </c>
      <c r="I7" s="50">
        <v>3670000</v>
      </c>
    </row>
    <row r="8" s="18" customFormat="1" ht="17.25" customHeight="1" spans="2:9">
      <c r="B8" s="33" t="s">
        <v>15</v>
      </c>
      <c r="C8" s="49">
        <v>2</v>
      </c>
      <c r="D8" s="50"/>
      <c r="E8" s="50"/>
      <c r="F8" s="33" t="s">
        <v>16</v>
      </c>
      <c r="G8" s="49">
        <v>32</v>
      </c>
      <c r="H8" s="50"/>
      <c r="I8" s="50"/>
    </row>
    <row r="9" s="18" customFormat="1" ht="17.25" customHeight="1" spans="2:9">
      <c r="B9" s="33" t="s">
        <v>17</v>
      </c>
      <c r="C9" s="49">
        <v>3</v>
      </c>
      <c r="D9" s="50"/>
      <c r="E9" s="50"/>
      <c r="F9" s="33" t="s">
        <v>18</v>
      </c>
      <c r="G9" s="49">
        <v>33</v>
      </c>
      <c r="H9" s="50">
        <v>-233970</v>
      </c>
      <c r="I9" s="50">
        <v>-25000</v>
      </c>
    </row>
    <row r="10" s="18" customFormat="1" ht="17.25" customHeight="1" spans="2:9">
      <c r="B10" s="33" t="s">
        <v>19</v>
      </c>
      <c r="C10" s="49">
        <v>4</v>
      </c>
      <c r="D10" s="50"/>
      <c r="E10" s="50"/>
      <c r="F10" s="33" t="s">
        <v>20</v>
      </c>
      <c r="G10" s="49">
        <v>34</v>
      </c>
      <c r="H10" s="50">
        <v>514008.56</v>
      </c>
      <c r="I10" s="50">
        <v>657533.16</v>
      </c>
    </row>
    <row r="11" s="18" customFormat="1" ht="17.25" customHeight="1" spans="2:9">
      <c r="B11" s="33" t="s">
        <v>21</v>
      </c>
      <c r="C11" s="49">
        <v>5</v>
      </c>
      <c r="D11" s="50">
        <v>489695.35</v>
      </c>
      <c r="E11" s="50">
        <v>207215.23</v>
      </c>
      <c r="F11" s="33" t="s">
        <v>22</v>
      </c>
      <c r="G11" s="49">
        <v>35</v>
      </c>
      <c r="H11" s="50">
        <v>21623.42</v>
      </c>
      <c r="I11" s="50">
        <v>184634</v>
      </c>
    </row>
    <row r="12" s="18" customFormat="1" ht="17.25" customHeight="1" spans="2:9">
      <c r="B12" s="33" t="s">
        <v>23</v>
      </c>
      <c r="C12" s="49">
        <v>6</v>
      </c>
      <c r="D12" s="50"/>
      <c r="E12" s="50"/>
      <c r="F12" s="33" t="s">
        <v>24</v>
      </c>
      <c r="G12" s="49">
        <v>36</v>
      </c>
      <c r="H12" s="50">
        <v>598.09</v>
      </c>
      <c r="I12" s="50">
        <v>17781.69</v>
      </c>
    </row>
    <row r="13" s="18" customFormat="1" ht="17.25" customHeight="1" spans="2:9">
      <c r="B13" s="33" t="s">
        <v>25</v>
      </c>
      <c r="C13" s="49">
        <v>7</v>
      </c>
      <c r="D13" s="50"/>
      <c r="E13" s="50"/>
      <c r="F13" s="33" t="s">
        <v>26</v>
      </c>
      <c r="G13" s="49">
        <v>37</v>
      </c>
      <c r="H13" s="50"/>
      <c r="I13" s="50"/>
    </row>
    <row r="14" s="18" customFormat="1" ht="17.25" customHeight="1" spans="2:9">
      <c r="B14" s="33" t="s">
        <v>27</v>
      </c>
      <c r="C14" s="49">
        <v>8</v>
      </c>
      <c r="D14" s="50">
        <v>1049227.86</v>
      </c>
      <c r="E14" s="50">
        <v>1226917.86</v>
      </c>
      <c r="F14" s="33" t="s">
        <v>28</v>
      </c>
      <c r="G14" s="49">
        <v>38</v>
      </c>
      <c r="H14" s="50"/>
      <c r="I14" s="50"/>
    </row>
    <row r="15" s="18" customFormat="1" ht="17.25" customHeight="1" spans="2:9">
      <c r="B15" s="33" t="s">
        <v>29</v>
      </c>
      <c r="C15" s="49">
        <v>9</v>
      </c>
      <c r="D15" s="50">
        <v>832972.24</v>
      </c>
      <c r="E15" s="50">
        <v>1041026.45</v>
      </c>
      <c r="F15" s="33" t="s">
        <v>30</v>
      </c>
      <c r="G15" s="49">
        <v>39</v>
      </c>
      <c r="H15" s="50">
        <v>188186.11</v>
      </c>
      <c r="I15" s="50">
        <v>193635.43</v>
      </c>
    </row>
    <row r="16" s="18" customFormat="1" ht="17.25" customHeight="1" spans="2:9">
      <c r="B16" s="33" t="s">
        <v>31</v>
      </c>
      <c r="C16" s="49">
        <v>10</v>
      </c>
      <c r="D16" s="50">
        <v>700562.46</v>
      </c>
      <c r="E16" s="50">
        <v>957530.81</v>
      </c>
      <c r="F16" s="33" t="s">
        <v>32</v>
      </c>
      <c r="G16" s="49">
        <v>40</v>
      </c>
      <c r="H16" s="50"/>
      <c r="I16" s="50"/>
    </row>
    <row r="17" s="18" customFormat="1" ht="17.25" customHeight="1" spans="2:9">
      <c r="B17" s="33" t="s">
        <v>33</v>
      </c>
      <c r="C17" s="49">
        <v>11</v>
      </c>
      <c r="D17" s="50">
        <v>-0.03</v>
      </c>
      <c r="E17" s="50"/>
      <c r="F17" s="31" t="s">
        <v>34</v>
      </c>
      <c r="G17" s="51">
        <v>41</v>
      </c>
      <c r="H17" s="52">
        <f>SUM(H7:H16)</f>
        <v>4660446.18</v>
      </c>
      <c r="I17" s="52">
        <f>SUM(I7:I16)</f>
        <v>4698584.28</v>
      </c>
    </row>
    <row r="18" s="18" customFormat="1" ht="17.25" customHeight="1" spans="2:9">
      <c r="B18" s="33" t="s">
        <v>35</v>
      </c>
      <c r="C18" s="49">
        <v>12</v>
      </c>
      <c r="D18" s="50">
        <v>132409.81</v>
      </c>
      <c r="E18" s="50">
        <v>83495.64</v>
      </c>
      <c r="F18" s="33" t="s">
        <v>36</v>
      </c>
      <c r="G18" s="49"/>
      <c r="H18" s="50"/>
      <c r="I18" s="50"/>
    </row>
    <row r="19" s="18" customFormat="1" ht="17.25" customHeight="1" spans="2:9">
      <c r="B19" s="33" t="s">
        <v>37</v>
      </c>
      <c r="C19" s="49">
        <v>13</v>
      </c>
      <c r="D19" s="50"/>
      <c r="E19" s="50"/>
      <c r="F19" s="33" t="s">
        <v>38</v>
      </c>
      <c r="G19" s="49">
        <v>42</v>
      </c>
      <c r="H19" s="50"/>
      <c r="I19" s="50"/>
    </row>
    <row r="20" s="18" customFormat="1" ht="17.25" customHeight="1" spans="2:9">
      <c r="B20" s="33" t="s">
        <v>39</v>
      </c>
      <c r="C20" s="49">
        <v>14</v>
      </c>
      <c r="D20" s="50"/>
      <c r="E20" s="50"/>
      <c r="F20" s="33" t="s">
        <v>40</v>
      </c>
      <c r="G20" s="49">
        <v>43</v>
      </c>
      <c r="H20" s="50"/>
      <c r="I20" s="50"/>
    </row>
    <row r="21" s="18" customFormat="1" ht="17.25" customHeight="1" spans="2:9">
      <c r="B21" s="31" t="s">
        <v>41</v>
      </c>
      <c r="C21" s="51">
        <v>15</v>
      </c>
      <c r="D21" s="53">
        <f>D7+D8+D9+D10+D11+D12+D13+D14+D15+D20</f>
        <v>2468185.74</v>
      </c>
      <c r="E21" s="53">
        <f>E7+E8+E9+E10+E11+E12+E13+E14+E15+E20</f>
        <v>2617286.16</v>
      </c>
      <c r="F21" s="33" t="s">
        <v>42</v>
      </c>
      <c r="G21" s="49">
        <v>44</v>
      </c>
      <c r="H21" s="50"/>
      <c r="I21" s="50"/>
    </row>
    <row r="22" s="18" customFormat="1" ht="17.25" customHeight="1" spans="2:9">
      <c r="B22" s="33" t="s">
        <v>43</v>
      </c>
      <c r="C22" s="49"/>
      <c r="D22" s="50"/>
      <c r="E22" s="50"/>
      <c r="F22" s="33" t="s">
        <v>44</v>
      </c>
      <c r="G22" s="49">
        <v>45</v>
      </c>
      <c r="H22" s="50"/>
      <c r="I22" s="50"/>
    </row>
    <row r="23" s="18" customFormat="1" ht="17.25" customHeight="1" spans="2:9">
      <c r="B23" s="33" t="s">
        <v>45</v>
      </c>
      <c r="C23" s="49">
        <v>16</v>
      </c>
      <c r="D23" s="50"/>
      <c r="E23" s="50"/>
      <c r="F23" s="31" t="s">
        <v>46</v>
      </c>
      <c r="G23" s="51">
        <v>46</v>
      </c>
      <c r="H23" s="53">
        <f>SUM(H19:H22)</f>
        <v>0</v>
      </c>
      <c r="I23" s="53">
        <f>SUM(I19:I22)</f>
        <v>0</v>
      </c>
    </row>
    <row r="24" s="18" customFormat="1" ht="17.25" customHeight="1" spans="2:9">
      <c r="B24" s="33" t="s">
        <v>47</v>
      </c>
      <c r="C24" s="49">
        <v>17</v>
      </c>
      <c r="D24" s="50"/>
      <c r="E24" s="50"/>
      <c r="F24" s="31" t="s">
        <v>48</v>
      </c>
      <c r="G24" s="51">
        <v>47</v>
      </c>
      <c r="H24" s="53">
        <f>H17+H23</f>
        <v>4660446.18</v>
      </c>
      <c r="I24" s="53">
        <f>I17+I23</f>
        <v>4698584.28</v>
      </c>
    </row>
    <row r="25" s="18" customFormat="1" ht="17.25" customHeight="1" spans="2:9">
      <c r="B25" s="33" t="s">
        <v>49</v>
      </c>
      <c r="C25" s="49">
        <v>18</v>
      </c>
      <c r="D25" s="50">
        <v>1378672.32</v>
      </c>
      <c r="E25" s="50">
        <v>1378672.32</v>
      </c>
      <c r="F25" s="54"/>
      <c r="G25" s="49"/>
      <c r="H25" s="50"/>
      <c r="I25" s="50"/>
    </row>
    <row r="26" s="18" customFormat="1" ht="17.25" customHeight="1" spans="2:9">
      <c r="B26" s="33" t="s">
        <v>50</v>
      </c>
      <c r="C26" s="49">
        <v>19</v>
      </c>
      <c r="D26" s="50">
        <v>726808</v>
      </c>
      <c r="E26" s="50">
        <v>687586.93</v>
      </c>
      <c r="F26" s="54"/>
      <c r="G26" s="49"/>
      <c r="H26" s="50"/>
      <c r="I26" s="50"/>
    </row>
    <row r="27" s="18" customFormat="1" ht="17.25" customHeight="1" spans="2:9">
      <c r="B27" s="33" t="s">
        <v>51</v>
      </c>
      <c r="C27" s="49">
        <v>20</v>
      </c>
      <c r="D27" s="50">
        <f>D25-D26</f>
        <v>651864.32</v>
      </c>
      <c r="E27" s="50">
        <f>E25-E26</f>
        <v>691085.39</v>
      </c>
      <c r="F27" s="54"/>
      <c r="G27" s="49"/>
      <c r="H27" s="50"/>
      <c r="I27" s="50"/>
    </row>
    <row r="28" s="18" customFormat="1" ht="17.25" customHeight="1" spans="2:9">
      <c r="B28" s="33" t="s">
        <v>52</v>
      </c>
      <c r="C28" s="49">
        <v>21</v>
      </c>
      <c r="D28" s="50"/>
      <c r="E28" s="50"/>
      <c r="F28" s="54"/>
      <c r="G28" s="49"/>
      <c r="H28" s="50"/>
      <c r="I28" s="50"/>
    </row>
    <row r="29" s="18" customFormat="1" ht="17.25" customHeight="1" spans="2:9">
      <c r="B29" s="33" t="s">
        <v>53</v>
      </c>
      <c r="C29" s="49">
        <v>22</v>
      </c>
      <c r="D29" s="50"/>
      <c r="E29" s="50"/>
      <c r="F29" s="54"/>
      <c r="G29" s="49"/>
      <c r="H29" s="50"/>
      <c r="I29" s="50"/>
    </row>
    <row r="30" s="18" customFormat="1" ht="17.25" customHeight="1" spans="2:9">
      <c r="B30" s="33" t="s">
        <v>54</v>
      </c>
      <c r="C30" s="49">
        <v>23</v>
      </c>
      <c r="D30" s="50"/>
      <c r="E30" s="50"/>
      <c r="F30" s="54"/>
      <c r="G30" s="49"/>
      <c r="H30" s="50"/>
      <c r="I30" s="50"/>
    </row>
    <row r="31" s="18" customFormat="1" ht="26.25" customHeight="1" spans="2:9">
      <c r="B31" s="33" t="s">
        <v>55</v>
      </c>
      <c r="C31" s="49">
        <v>24</v>
      </c>
      <c r="D31" s="50"/>
      <c r="E31" s="50"/>
      <c r="F31" s="33" t="s">
        <v>56</v>
      </c>
      <c r="G31" s="49"/>
      <c r="H31" s="50"/>
      <c r="I31" s="50"/>
    </row>
    <row r="32" s="18" customFormat="1" ht="17.25" customHeight="1" spans="2:9">
      <c r="B32" s="33" t="s">
        <v>57</v>
      </c>
      <c r="C32" s="49">
        <v>25</v>
      </c>
      <c r="D32" s="50"/>
      <c r="E32" s="50"/>
      <c r="F32" s="33" t="s">
        <v>58</v>
      </c>
      <c r="G32" s="49">
        <v>48</v>
      </c>
      <c r="H32" s="50">
        <v>1683000</v>
      </c>
      <c r="I32" s="50">
        <v>1683000</v>
      </c>
    </row>
    <row r="33" s="18" customFormat="1" ht="17.25" customHeight="1" spans="2:9">
      <c r="B33" s="33" t="s">
        <v>59</v>
      </c>
      <c r="C33" s="49">
        <v>26</v>
      </c>
      <c r="D33" s="50"/>
      <c r="E33" s="50"/>
      <c r="F33" s="33" t="s">
        <v>60</v>
      </c>
      <c r="G33" s="49">
        <v>49</v>
      </c>
      <c r="H33" s="50"/>
      <c r="I33" s="50"/>
    </row>
    <row r="34" s="18" customFormat="1" ht="17.25" customHeight="1" spans="2:9">
      <c r="B34" s="33" t="s">
        <v>61</v>
      </c>
      <c r="C34" s="49">
        <v>27</v>
      </c>
      <c r="D34" s="50">
        <v>792368.74</v>
      </c>
      <c r="E34" s="50">
        <v>831657.07</v>
      </c>
      <c r="F34" s="33" t="s">
        <v>62</v>
      </c>
      <c r="G34" s="49">
        <v>50</v>
      </c>
      <c r="H34" s="50"/>
      <c r="I34" s="50"/>
    </row>
    <row r="35" s="18" customFormat="1" ht="17.25" customHeight="1" spans="2:9">
      <c r="B35" s="33" t="s">
        <v>63</v>
      </c>
      <c r="C35" s="49">
        <v>28</v>
      </c>
      <c r="D35" s="50"/>
      <c r="E35" s="50"/>
      <c r="F35" s="33" t="s">
        <v>64</v>
      </c>
      <c r="G35" s="49">
        <v>51</v>
      </c>
      <c r="H35" s="50">
        <v>-2431027.38</v>
      </c>
      <c r="I35" s="50">
        <v>-2241555.66</v>
      </c>
    </row>
    <row r="36" s="18" customFormat="1" ht="24" spans="2:9">
      <c r="B36" s="31" t="s">
        <v>65</v>
      </c>
      <c r="C36" s="51">
        <v>29</v>
      </c>
      <c r="D36" s="53">
        <f>D23+D24+D27+D28+D29+D30+D31+D32+D33+D34+D35</f>
        <v>1444233.06</v>
      </c>
      <c r="E36" s="53">
        <f>E23+E24+E27+E28+E29+E30+E31+E32+E33+E34+E35</f>
        <v>1522742.46</v>
      </c>
      <c r="F36" s="31" t="s">
        <v>66</v>
      </c>
      <c r="G36" s="51">
        <v>52</v>
      </c>
      <c r="H36" s="53">
        <f>H32+H33+H34+H35</f>
        <v>-748027.38</v>
      </c>
      <c r="I36" s="53">
        <f>I32+I33+I34+I35</f>
        <v>-558555.66</v>
      </c>
    </row>
    <row r="37" s="18" customFormat="1" ht="26.25" customHeight="1" spans="2:9">
      <c r="B37" s="55" t="s">
        <v>67</v>
      </c>
      <c r="C37" s="56">
        <v>30</v>
      </c>
      <c r="D37" s="57">
        <f>D21+D36</f>
        <v>3912418.8</v>
      </c>
      <c r="E37" s="57">
        <f>E21+E36</f>
        <v>4140028.62</v>
      </c>
      <c r="F37" s="55" t="s">
        <v>68</v>
      </c>
      <c r="G37" s="56">
        <v>53</v>
      </c>
      <c r="H37" s="57">
        <f>H24+H36</f>
        <v>3912418.8</v>
      </c>
      <c r="I37" s="57">
        <f>I24+I36</f>
        <v>4140028.62</v>
      </c>
    </row>
  </sheetData>
  <printOptions horizontalCentered="1"/>
  <pageMargins left="0.156944444444444" right="0.156944444444444" top="0.984027777777778" bottom="0.984027777777778" header="0.511111111111111" footer="0.511111111111111"/>
  <pageSetup paperSize="9" orientation="portrait" horizontalDpi="180" verticalDpi="18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showGridLines="0" showZeros="0" zoomScaleSheetLayoutView="60" topLeftCell="A9" workbookViewId="0">
      <selection activeCell="K11" sqref="K11:K12"/>
    </sheetView>
  </sheetViews>
  <sheetFormatPr defaultColWidth="9" defaultRowHeight="14.25" outlineLevelCol="6"/>
  <cols>
    <col min="1" max="1" width="1.25" customWidth="1"/>
    <col min="2" max="2" width="42.875" style="19" customWidth="1"/>
    <col min="3" max="3" width="4.75" style="19" customWidth="1"/>
    <col min="4" max="6" width="14.625" customWidth="1"/>
    <col min="7" max="7" width="11.125" customWidth="1"/>
  </cols>
  <sheetData>
    <row r="1" ht="31.5" customHeight="1" spans="1:7">
      <c r="B1" s="20"/>
      <c r="C1" s="21" t="s">
        <v>69</v>
      </c>
      <c r="D1" s="20"/>
      <c r="E1" s="20"/>
      <c r="F1" s="20"/>
      <c r="G1" s="3"/>
    </row>
    <row r="2" ht="9" customHeight="1" spans="1:7">
      <c r="C2" s="22"/>
      <c r="D2" s="22"/>
      <c r="E2" s="22"/>
      <c r="F2" s="22"/>
      <c r="G2" s="3"/>
    </row>
    <row r="3" customHeight="1" spans="1:7">
      <c r="A3" s="3"/>
      <c r="B3" s="23" t="s">
        <v>1</v>
      </c>
      <c r="C3" s="24"/>
      <c r="D3" s="25"/>
      <c r="E3" s="25"/>
      <c r="F3" s="25" t="s">
        <v>70</v>
      </c>
      <c r="G3" s="26"/>
    </row>
    <row r="4" ht="17.25" customHeight="1" spans="1:7">
      <c r="A4" s="3"/>
      <c r="B4" s="27"/>
      <c r="C4" s="1" t="s">
        <v>71</v>
      </c>
      <c r="D4" s="25"/>
      <c r="E4" s="25"/>
      <c r="F4" s="25" t="s">
        <v>4</v>
      </c>
      <c r="G4" s="28"/>
    </row>
    <row r="5" s="18" customFormat="1" ht="30" customHeight="1" spans="1:7">
      <c r="A5" s="1"/>
      <c r="B5" s="29" t="s">
        <v>72</v>
      </c>
      <c r="C5" s="29" t="s">
        <v>73</v>
      </c>
      <c r="D5" s="29" t="s">
        <v>74</v>
      </c>
      <c r="E5" s="29" t="s">
        <v>75</v>
      </c>
      <c r="F5" s="29" t="s">
        <v>76</v>
      </c>
      <c r="G5" s="25"/>
    </row>
    <row r="6" s="18" customFormat="1" ht="18" customHeight="1" spans="1:7">
      <c r="A6" s="1"/>
      <c r="B6" s="30" t="s">
        <v>77</v>
      </c>
      <c r="C6" s="31">
        <v>1</v>
      </c>
      <c r="D6" s="32">
        <v>59886.6</v>
      </c>
      <c r="E6" s="32">
        <v>572999.62</v>
      </c>
      <c r="F6" s="32">
        <v>572999.62</v>
      </c>
      <c r="G6" s="25"/>
    </row>
    <row r="7" s="18" customFormat="1" ht="18" customHeight="1" spans="1:7">
      <c r="A7" s="1"/>
      <c r="B7" s="33" t="s">
        <v>78</v>
      </c>
      <c r="C7" s="34">
        <v>2</v>
      </c>
      <c r="D7" s="35">
        <v>46726.12</v>
      </c>
      <c r="E7" s="35">
        <v>497912.33</v>
      </c>
      <c r="F7" s="35">
        <v>497912.33</v>
      </c>
      <c r="G7" s="25"/>
    </row>
    <row r="8" s="18" customFormat="1" ht="18" customHeight="1" spans="1:7">
      <c r="A8" s="1"/>
      <c r="B8" s="33" t="s">
        <v>79</v>
      </c>
      <c r="C8" s="34">
        <v>3</v>
      </c>
      <c r="D8" s="35">
        <v>2548.91</v>
      </c>
      <c r="E8" s="35">
        <v>2975.19</v>
      </c>
      <c r="F8" s="35">
        <v>2975.19</v>
      </c>
      <c r="G8" s="25"/>
    </row>
    <row r="9" s="18" customFormat="1" ht="18" customHeight="1" spans="1:7">
      <c r="A9" s="1"/>
      <c r="B9" s="33" t="s">
        <v>80</v>
      </c>
      <c r="C9" s="34">
        <v>4</v>
      </c>
      <c r="D9" s="35"/>
      <c r="E9" s="35"/>
      <c r="F9" s="35"/>
      <c r="G9" s="25"/>
    </row>
    <row r="10" s="18" customFormat="1" ht="18" customHeight="1" spans="1:7">
      <c r="A10" s="1"/>
      <c r="B10" s="33" t="s">
        <v>81</v>
      </c>
      <c r="C10" s="34">
        <v>5</v>
      </c>
      <c r="D10" s="35"/>
      <c r="E10" s="35"/>
      <c r="F10" s="35"/>
      <c r="G10" s="25"/>
    </row>
    <row r="11" s="18" customFormat="1" ht="18" customHeight="1" spans="1:7">
      <c r="A11" s="1"/>
      <c r="B11" s="33" t="s">
        <v>82</v>
      </c>
      <c r="C11" s="34">
        <v>6</v>
      </c>
      <c r="D11" s="35">
        <v>1173</v>
      </c>
      <c r="E11" s="35">
        <v>1349.06</v>
      </c>
      <c r="F11" s="35">
        <v>1349.06</v>
      </c>
      <c r="G11" s="23"/>
    </row>
    <row r="12" s="18" customFormat="1" ht="18" customHeight="1" spans="1:7">
      <c r="A12" s="1"/>
      <c r="B12" s="33" t="s">
        <v>83</v>
      </c>
      <c r="C12" s="34">
        <v>7</v>
      </c>
      <c r="D12" s="35"/>
      <c r="E12" s="35"/>
      <c r="F12" s="35"/>
    </row>
    <row r="13" s="18" customFormat="1" ht="18" customHeight="1" spans="1:7">
      <c r="A13" s="1"/>
      <c r="B13" s="33" t="s">
        <v>84</v>
      </c>
      <c r="C13" s="34">
        <v>8</v>
      </c>
      <c r="D13" s="35"/>
      <c r="E13" s="35"/>
      <c r="F13" s="35"/>
    </row>
    <row r="14" s="18" customFormat="1" ht="18" customHeight="1" spans="1:7">
      <c r="A14" s="1"/>
      <c r="B14" s="33" t="s">
        <v>85</v>
      </c>
      <c r="C14" s="34">
        <v>9</v>
      </c>
      <c r="D14" s="35"/>
      <c r="E14" s="35"/>
      <c r="F14" s="35"/>
    </row>
    <row r="15" s="18" customFormat="1" ht="18" customHeight="1" spans="1:7">
      <c r="A15" s="1"/>
      <c r="B15" s="33" t="s">
        <v>86</v>
      </c>
      <c r="C15" s="34">
        <v>10</v>
      </c>
      <c r="D15" s="35">
        <v>1375.91</v>
      </c>
      <c r="E15" s="35">
        <v>1626.13</v>
      </c>
      <c r="F15" s="35">
        <v>1626.13</v>
      </c>
    </row>
    <row r="16" s="18" customFormat="1" ht="18" customHeight="1" spans="1:7">
      <c r="A16" s="1"/>
      <c r="B16" s="33" t="s">
        <v>87</v>
      </c>
      <c r="C16" s="34">
        <v>11</v>
      </c>
      <c r="D16" s="35">
        <v>5581.72</v>
      </c>
      <c r="E16" s="35">
        <v>12055.19</v>
      </c>
      <c r="F16" s="35">
        <v>12055.19</v>
      </c>
    </row>
    <row r="17" s="18" customFormat="1" ht="18" customHeight="1" spans="1:6">
      <c r="A17" s="1"/>
      <c r="B17" s="33" t="s">
        <v>88</v>
      </c>
      <c r="C17" s="34">
        <v>12</v>
      </c>
      <c r="D17" s="35"/>
      <c r="E17" s="35"/>
      <c r="F17" s="35"/>
    </row>
    <row r="18" s="18" customFormat="1" ht="18" customHeight="1" spans="1:6">
      <c r="A18" s="1"/>
      <c r="B18" s="33" t="s">
        <v>89</v>
      </c>
      <c r="C18" s="34">
        <v>13</v>
      </c>
      <c r="D18" s="35"/>
      <c r="E18" s="35"/>
      <c r="F18" s="35"/>
    </row>
    <row r="19" s="18" customFormat="1" ht="18" customHeight="1" spans="1:6">
      <c r="A19" s="1"/>
      <c r="B19" s="33" t="s">
        <v>90</v>
      </c>
      <c r="C19" s="34">
        <v>14</v>
      </c>
      <c r="D19" s="35">
        <v>52579.91</v>
      </c>
      <c r="E19" s="35">
        <v>194570.99</v>
      </c>
      <c r="F19" s="35">
        <v>194570.99</v>
      </c>
    </row>
    <row r="20" s="18" customFormat="1" ht="18" customHeight="1" spans="1:6">
      <c r="A20" s="1"/>
      <c r="B20" s="33" t="s">
        <v>91</v>
      </c>
      <c r="C20" s="34">
        <v>15</v>
      </c>
      <c r="D20" s="35"/>
      <c r="E20" s="35"/>
      <c r="F20" s="35"/>
    </row>
    <row r="21" s="18" customFormat="1" ht="18" customHeight="1" spans="1:6">
      <c r="A21" s="1"/>
      <c r="B21" s="33" t="s">
        <v>92</v>
      </c>
      <c r="C21" s="34">
        <v>16</v>
      </c>
      <c r="D21" s="35"/>
      <c r="E21" s="35">
        <v>218</v>
      </c>
      <c r="F21" s="35">
        <v>218</v>
      </c>
    </row>
    <row r="22" s="18" customFormat="1" ht="18" customHeight="1" spans="1:6">
      <c r="A22" s="1"/>
      <c r="B22" s="33" t="s">
        <v>93</v>
      </c>
      <c r="C22" s="34">
        <v>17</v>
      </c>
      <c r="D22" s="35">
        <v>28038.13</v>
      </c>
      <c r="E22" s="35">
        <v>101486.96</v>
      </c>
      <c r="F22" s="35">
        <v>101486.96</v>
      </c>
    </row>
    <row r="23" s="18" customFormat="1" ht="18" customHeight="1" spans="1:6">
      <c r="A23" s="1"/>
      <c r="B23" s="33" t="s">
        <v>94</v>
      </c>
      <c r="C23" s="34">
        <v>18</v>
      </c>
      <c r="D23" s="35">
        <v>11679.99</v>
      </c>
      <c r="E23" s="35">
        <v>49459.98</v>
      </c>
      <c r="F23" s="35">
        <v>49459.98</v>
      </c>
    </row>
    <row r="24" s="18" customFormat="1" ht="18" customHeight="1" spans="1:6">
      <c r="A24" s="1"/>
      <c r="B24" s="33" t="s">
        <v>95</v>
      </c>
      <c r="C24" s="34">
        <v>19</v>
      </c>
      <c r="D24" s="35">
        <v>11539.49</v>
      </c>
      <c r="E24" s="35">
        <v>37575.98</v>
      </c>
      <c r="F24" s="35">
        <v>37575.98</v>
      </c>
    </row>
    <row r="25" s="18" customFormat="1" ht="18" customHeight="1" spans="1:6">
      <c r="A25" s="1"/>
      <c r="B25" s="33" t="s">
        <v>96</v>
      </c>
      <c r="C25" s="34">
        <v>20</v>
      </c>
      <c r="D25" s="35"/>
      <c r="E25" s="35"/>
      <c r="F25" s="35"/>
    </row>
    <row r="26" s="18" customFormat="1" ht="18" customHeight="1" spans="1:6">
      <c r="A26" s="1"/>
      <c r="B26" s="30" t="s">
        <v>97</v>
      </c>
      <c r="C26" s="31">
        <v>21</v>
      </c>
      <c r="D26" s="32">
        <f>D6-D7-D8-D16-D19-D23+D25</f>
        <v>-59230.05</v>
      </c>
      <c r="E26" s="32">
        <f>E6-E7-E8-E16-E19-E23+E25</f>
        <v>-183974.06</v>
      </c>
      <c r="F26" s="32">
        <f>F6-F7-F8-F16-F19-F23+F25</f>
        <v>-183974.06</v>
      </c>
    </row>
    <row r="27" s="18" customFormat="1" ht="18" customHeight="1" spans="1:6">
      <c r="A27" s="1"/>
      <c r="B27" s="33" t="s">
        <v>98</v>
      </c>
      <c r="C27" s="34">
        <v>22</v>
      </c>
      <c r="D27" s="35">
        <v>21.44</v>
      </c>
      <c r="E27" s="35">
        <v>21.44</v>
      </c>
      <c r="F27" s="35">
        <v>21.44</v>
      </c>
    </row>
    <row r="28" s="18" customFormat="1" ht="18" customHeight="1" spans="1:6">
      <c r="A28" s="1"/>
      <c r="B28" s="33" t="s">
        <v>99</v>
      </c>
      <c r="C28" s="34">
        <v>23</v>
      </c>
      <c r="D28" s="35"/>
      <c r="E28" s="35"/>
      <c r="F28" s="35"/>
    </row>
    <row r="29" s="18" customFormat="1" ht="18" customHeight="1" spans="1:6">
      <c r="A29" s="1"/>
      <c r="B29" s="33" t="s">
        <v>100</v>
      </c>
      <c r="C29" s="34">
        <v>24</v>
      </c>
      <c r="D29" s="35">
        <v>399.75</v>
      </c>
      <c r="E29" s="35">
        <v>5519.1</v>
      </c>
      <c r="F29" s="35">
        <v>5519.1</v>
      </c>
    </row>
    <row r="30" s="18" customFormat="1" ht="18" customHeight="1" spans="1:6">
      <c r="A30" s="1"/>
      <c r="B30" s="33" t="s">
        <v>101</v>
      </c>
      <c r="C30" s="34">
        <v>25</v>
      </c>
      <c r="D30" s="35"/>
      <c r="E30" s="35"/>
      <c r="F30" s="35"/>
    </row>
    <row r="31" s="18" customFormat="1" ht="18" customHeight="1" spans="1:6">
      <c r="A31" s="1"/>
      <c r="B31" s="33" t="s">
        <v>102</v>
      </c>
      <c r="C31" s="34">
        <v>26</v>
      </c>
      <c r="D31" s="35"/>
      <c r="E31" s="35"/>
      <c r="F31" s="35"/>
    </row>
    <row r="32" s="18" customFormat="1" ht="18" customHeight="1" spans="1:6">
      <c r="A32" s="1"/>
      <c r="B32" s="33" t="s">
        <v>103</v>
      </c>
      <c r="C32" s="34">
        <v>27</v>
      </c>
      <c r="D32" s="35"/>
      <c r="E32" s="35"/>
      <c r="F32" s="35"/>
    </row>
    <row r="33" s="18" customFormat="1" ht="18" customHeight="1" spans="1:6">
      <c r="A33" s="1"/>
      <c r="B33" s="33" t="s">
        <v>104</v>
      </c>
      <c r="C33" s="34">
        <v>28</v>
      </c>
      <c r="D33" s="35"/>
      <c r="E33" s="35"/>
      <c r="F33" s="35"/>
    </row>
    <row r="34" s="18" customFormat="1" ht="18" customHeight="1" spans="1:6">
      <c r="A34" s="1"/>
      <c r="B34" s="33" t="s">
        <v>105</v>
      </c>
      <c r="C34" s="34">
        <v>29</v>
      </c>
      <c r="D34" s="35">
        <v>399.75</v>
      </c>
      <c r="E34" s="35">
        <v>5519.1</v>
      </c>
      <c r="F34" s="35">
        <v>5519.1</v>
      </c>
    </row>
    <row r="35" s="18" customFormat="1" ht="18" customHeight="1" spans="1:6">
      <c r="A35" s="1"/>
      <c r="B35" s="30" t="s">
        <v>106</v>
      </c>
      <c r="C35" s="31">
        <v>30</v>
      </c>
      <c r="D35" s="32">
        <f>D26+D27-D29</f>
        <v>-59608.36</v>
      </c>
      <c r="E35" s="32">
        <f>E26+E27-E29</f>
        <v>-189471.72</v>
      </c>
      <c r="F35" s="32">
        <f>F26+F27-F29</f>
        <v>-189471.72</v>
      </c>
    </row>
    <row r="36" s="18" customFormat="1" ht="18" customHeight="1" spans="1:6">
      <c r="A36" s="1"/>
      <c r="B36" s="33" t="s">
        <v>107</v>
      </c>
      <c r="C36" s="34">
        <v>31</v>
      </c>
      <c r="D36" s="35"/>
      <c r="E36" s="35"/>
      <c r="F36" s="35"/>
    </row>
    <row r="37" s="18" customFormat="1" ht="18" customHeight="1" spans="1:6">
      <c r="A37" s="1"/>
      <c r="B37" s="30" t="s">
        <v>108</v>
      </c>
      <c r="C37" s="31">
        <v>32</v>
      </c>
      <c r="D37" s="32">
        <f>D35-D36</f>
        <v>-59608.36</v>
      </c>
      <c r="E37" s="32">
        <f>E35-E36</f>
        <v>-189471.72</v>
      </c>
      <c r="F37" s="32">
        <f>F35-F36</f>
        <v>-189471.72</v>
      </c>
    </row>
  </sheetData>
  <pageMargins left="0.75" right="0.75" top="1" bottom="1" header="0.5" footer="0.5"/>
  <pageSetup paperSize="9" orientation="portrait" horizontalDpi="60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45"/>
  <sheetViews>
    <sheetView showGridLines="0" showZeros="0" zoomScaleSheetLayoutView="60" topLeftCell="A4" workbookViewId="0">
      <selection activeCell="B4" sqref="B4"/>
    </sheetView>
  </sheetViews>
  <sheetFormatPr defaultColWidth="9" defaultRowHeight="12" outlineLevelCol="6"/>
  <cols>
    <col min="1" max="1" width="0.75" style="3" customWidth="1"/>
    <col min="2" max="2" width="46.5" style="3" customWidth="1"/>
    <col min="3" max="3" width="4.625" style="4" customWidth="1"/>
    <col min="4" max="7" width="14.625" style="3" customWidth="1"/>
    <col min="8" max="16384" width="9" style="3"/>
  </cols>
  <sheetData>
    <row r="1" s="1" customFormat="1" ht="26.25" customHeight="1" spans="2:7">
      <c r="C1" s="5" t="s">
        <v>109</v>
      </c>
    </row>
    <row r="2" s="1" customFormat="1" ht="8.25" customHeight="1" spans="2:7">
      <c r="C2" s="2"/>
    </row>
    <row r="3" s="1" customFormat="1" ht="18" customHeight="1" spans="2:7">
      <c r="B3" s="1" t="s">
        <v>110</v>
      </c>
      <c r="C3" s="2"/>
      <c r="E3" s="6"/>
      <c r="F3" s="6"/>
      <c r="G3" s="6" t="s">
        <v>111</v>
      </c>
    </row>
    <row r="4" s="1" customFormat="1" ht="15.95" customHeight="1" spans="2:7">
      <c r="C4" s="7" t="s">
        <v>71</v>
      </c>
      <c r="E4" s="6"/>
      <c r="F4" s="6"/>
      <c r="G4" s="6" t="s">
        <v>112</v>
      </c>
    </row>
    <row r="5" s="2" customFormat="1" ht="15.95" customHeight="1" spans="2:7">
      <c r="B5" s="8" t="s">
        <v>113</v>
      </c>
      <c r="C5" s="8" t="s">
        <v>73</v>
      </c>
      <c r="D5" s="8" t="s">
        <v>114</v>
      </c>
      <c r="E5" s="8" t="s">
        <v>115</v>
      </c>
      <c r="F5" s="8" t="s">
        <v>116</v>
      </c>
      <c r="G5" s="8" t="s">
        <v>76</v>
      </c>
    </row>
    <row r="6" s="1" customFormat="1" ht="15.95" customHeight="1" spans="2:7">
      <c r="B6" s="9" t="s">
        <v>117</v>
      </c>
      <c r="C6" s="8">
        <v>1</v>
      </c>
      <c r="D6" s="10"/>
      <c r="E6" s="10"/>
      <c r="F6" s="10"/>
      <c r="G6" s="10"/>
    </row>
    <row r="7" s="1" customFormat="1" ht="15.95" customHeight="1" spans="2:7">
      <c r="B7" s="9" t="s">
        <v>118</v>
      </c>
      <c r="C7" s="8">
        <v>2</v>
      </c>
      <c r="D7" s="10">
        <v>2337692.32</v>
      </c>
      <c r="E7" s="10">
        <v>103251.86</v>
      </c>
      <c r="F7" s="10">
        <v>505092.39</v>
      </c>
      <c r="G7" s="10">
        <v>505092.39</v>
      </c>
    </row>
    <row r="8" s="1" customFormat="1" ht="15.95" customHeight="1" spans="2:7">
      <c r="B8" s="9" t="s">
        <v>119</v>
      </c>
      <c r="C8" s="8">
        <v>3</v>
      </c>
      <c r="D8" s="10"/>
      <c r="E8" s="10"/>
      <c r="F8" s="10"/>
      <c r="G8" s="10"/>
    </row>
    <row r="9" s="1" customFormat="1" ht="15.95" customHeight="1" spans="2:7">
      <c r="B9" s="9" t="s">
        <v>120</v>
      </c>
      <c r="C9" s="8">
        <v>4</v>
      </c>
      <c r="D9" s="10">
        <v>1131009.37</v>
      </c>
      <c r="E9" s="10">
        <v>253621.44</v>
      </c>
      <c r="F9" s="10">
        <v>333161.44</v>
      </c>
      <c r="G9" s="10">
        <v>333161.44</v>
      </c>
    </row>
    <row r="10" s="1" customFormat="1" ht="15.95" customHeight="1" spans="2:7">
      <c r="B10" s="11" t="s">
        <v>121</v>
      </c>
      <c r="C10" s="12">
        <v>5</v>
      </c>
      <c r="D10" s="13">
        <f>SUM(D7:D9)</f>
        <v>3468701.69</v>
      </c>
      <c r="E10" s="13">
        <f>SUM(E7:E9)</f>
        <v>356873.3</v>
      </c>
      <c r="F10" s="13">
        <f>SUM(F7:F9)</f>
        <v>838253.83</v>
      </c>
      <c r="G10" s="13">
        <f>SUM(G7:G9)</f>
        <v>838253.83</v>
      </c>
    </row>
    <row r="11" s="1" customFormat="1" ht="15.95" customHeight="1" spans="2:7">
      <c r="B11" s="9" t="s">
        <v>122</v>
      </c>
      <c r="C11" s="8">
        <v>6</v>
      </c>
      <c r="D11" s="10">
        <v>2071573.14</v>
      </c>
      <c r="E11" s="10">
        <v>126546.85</v>
      </c>
      <c r="F11" s="10">
        <v>755093.92</v>
      </c>
      <c r="G11" s="10">
        <v>755093.92</v>
      </c>
    </row>
    <row r="12" s="1" customFormat="1" ht="15.95" customHeight="1" spans="2:7">
      <c r="B12" s="9" t="s">
        <v>123</v>
      </c>
      <c r="C12" s="8">
        <v>7</v>
      </c>
      <c r="D12" s="10">
        <v>542995.36</v>
      </c>
      <c r="E12" s="10">
        <v>101396.3</v>
      </c>
      <c r="F12" s="10">
        <v>304895.76</v>
      </c>
      <c r="G12" s="10">
        <v>304895.76</v>
      </c>
    </row>
    <row r="13" s="1" customFormat="1" ht="15.95" customHeight="1" spans="2:7">
      <c r="B13" s="9" t="s">
        <v>124</v>
      </c>
      <c r="C13" s="8">
        <v>8</v>
      </c>
      <c r="D13" s="10">
        <v>51005.24</v>
      </c>
      <c r="E13" s="10">
        <v>49621.26</v>
      </c>
      <c r="F13" s="10">
        <v>76349.25</v>
      </c>
      <c r="G13" s="10">
        <v>76349.25</v>
      </c>
    </row>
    <row r="14" s="1" customFormat="1" ht="15.95" customHeight="1" spans="2:7">
      <c r="B14" s="9" t="s">
        <v>125</v>
      </c>
      <c r="C14" s="8">
        <v>9</v>
      </c>
      <c r="D14" s="10">
        <v>2146742.84</v>
      </c>
      <c r="E14" s="10">
        <v>74458.19</v>
      </c>
      <c r="F14" s="10">
        <v>208791.25</v>
      </c>
      <c r="G14" s="10">
        <v>208791.25</v>
      </c>
    </row>
    <row r="15" s="1" customFormat="1" ht="15.95" customHeight="1" spans="2:7">
      <c r="B15" s="11" t="s">
        <v>126</v>
      </c>
      <c r="C15" s="12">
        <v>10</v>
      </c>
      <c r="D15" s="13">
        <f>SUM(D11:D14)</f>
        <v>4812316.58</v>
      </c>
      <c r="E15" s="13">
        <f>SUM(E11:E14)</f>
        <v>352022.6</v>
      </c>
      <c r="F15" s="13">
        <f>SUM(F11:F14)</f>
        <v>1345130.18</v>
      </c>
      <c r="G15" s="13">
        <f>SUM(G11:G14)</f>
        <v>1345130.18</v>
      </c>
    </row>
    <row r="16" s="1" customFormat="1" ht="15.95" customHeight="1" spans="2:7">
      <c r="B16" s="14" t="s">
        <v>127</v>
      </c>
      <c r="C16" s="15">
        <v>11</v>
      </c>
      <c r="D16" s="16">
        <f>D10-D15</f>
        <v>-1343614.89</v>
      </c>
      <c r="E16" s="16">
        <f>E10-E15</f>
        <v>4850.69999999995</v>
      </c>
      <c r="F16" s="16">
        <f>F10-F15</f>
        <v>-506876.35</v>
      </c>
      <c r="G16" s="16">
        <f>G10-G15</f>
        <v>-506876.35</v>
      </c>
    </row>
    <row r="17" s="1" customFormat="1" ht="15.95" customHeight="1" spans="2:7">
      <c r="B17" s="9" t="s">
        <v>128</v>
      </c>
      <c r="C17" s="8">
        <v>12</v>
      </c>
      <c r="D17" s="10"/>
      <c r="E17" s="10"/>
      <c r="F17" s="10"/>
      <c r="G17" s="10"/>
    </row>
    <row r="18" s="1" customFormat="1" ht="15.95" customHeight="1" spans="2:7">
      <c r="B18" s="9" t="s">
        <v>129</v>
      </c>
      <c r="C18" s="8">
        <v>13</v>
      </c>
      <c r="D18" s="10"/>
      <c r="E18" s="10"/>
      <c r="F18" s="10"/>
      <c r="G18" s="10"/>
    </row>
    <row r="19" s="1" customFormat="1" ht="15.95" customHeight="1" spans="2:7">
      <c r="B19" s="9" t="s">
        <v>130</v>
      </c>
      <c r="C19" s="8">
        <v>14</v>
      </c>
      <c r="D19" s="10"/>
      <c r="E19" s="10"/>
      <c r="F19" s="10"/>
      <c r="G19" s="10"/>
    </row>
    <row r="20" s="1" customFormat="1" ht="15.95" customHeight="1" spans="2:7">
      <c r="B20" s="9" t="s">
        <v>131</v>
      </c>
      <c r="C20" s="8">
        <v>15</v>
      </c>
      <c r="D20" s="10">
        <v>10619.47</v>
      </c>
      <c r="E20" s="10"/>
      <c r="F20" s="10"/>
      <c r="G20" s="10"/>
    </row>
    <row r="21" s="1" customFormat="1" ht="15.95" customHeight="1" spans="2:7">
      <c r="B21" s="9" t="s">
        <v>132</v>
      </c>
      <c r="C21" s="8">
        <v>16</v>
      </c>
      <c r="D21" s="10" t="s">
        <v>133</v>
      </c>
      <c r="E21" s="10" t="s">
        <v>133</v>
      </c>
      <c r="F21" s="10" t="s">
        <v>133</v>
      </c>
      <c r="G21" s="10" t="s">
        <v>133</v>
      </c>
    </row>
    <row r="22" s="1" customFormat="1" ht="15.95" customHeight="1" spans="2:7">
      <c r="B22" s="11" t="s">
        <v>121</v>
      </c>
      <c r="C22" s="12">
        <v>17</v>
      </c>
      <c r="D22" s="13">
        <f>SUM(D18:D21)</f>
        <v>10619.47</v>
      </c>
      <c r="E22" s="13">
        <f>SUM(E18:E21)</f>
        <v>0</v>
      </c>
      <c r="F22" s="13">
        <f>SUM(F18:F21)</f>
        <v>0</v>
      </c>
      <c r="G22" s="13">
        <f>SUM(G18:G21)</f>
        <v>0</v>
      </c>
    </row>
    <row r="23" s="1" customFormat="1" ht="15.95" customHeight="1" spans="2:7">
      <c r="B23" s="9" t="s">
        <v>134</v>
      </c>
      <c r="C23" s="8">
        <v>18</v>
      </c>
      <c r="D23" s="10"/>
      <c r="E23" s="10"/>
      <c r="F23" s="10"/>
      <c r="G23" s="10"/>
    </row>
    <row r="24" s="1" customFormat="1" ht="15.95" customHeight="1" spans="2:7">
      <c r="B24" s="9" t="s">
        <v>135</v>
      </c>
      <c r="C24" s="8">
        <v>19</v>
      </c>
      <c r="D24" s="10">
        <v>8773.43</v>
      </c>
      <c r="E24" s="10"/>
      <c r="F24" s="10"/>
      <c r="G24" s="10"/>
    </row>
    <row r="25" s="1" customFormat="1" ht="15.95" customHeight="1" spans="2:7">
      <c r="B25" s="9" t="s">
        <v>136</v>
      </c>
      <c r="C25" s="8">
        <v>20</v>
      </c>
      <c r="D25" s="10"/>
      <c r="E25" s="10"/>
      <c r="F25" s="10"/>
      <c r="G25" s="10"/>
    </row>
    <row r="26" s="1" customFormat="1" ht="15.95" customHeight="1" spans="2:7">
      <c r="B26" s="11" t="s">
        <v>126</v>
      </c>
      <c r="C26" s="12">
        <v>21</v>
      </c>
      <c r="D26" s="13">
        <f>SUM(D23:D25)</f>
        <v>8773.43</v>
      </c>
      <c r="E26" s="13">
        <f>SUM(E23:E25)</f>
        <v>0</v>
      </c>
      <c r="F26" s="13">
        <f>SUM(F23:F25)</f>
        <v>0</v>
      </c>
      <c r="G26" s="13">
        <f>SUM(G23:G25)</f>
        <v>0</v>
      </c>
    </row>
    <row r="27" s="1" customFormat="1" ht="15.95" customHeight="1" spans="2:7">
      <c r="B27" s="14" t="s">
        <v>137</v>
      </c>
      <c r="C27" s="15">
        <v>22</v>
      </c>
      <c r="D27" s="16">
        <f>D22-D26</f>
        <v>1846.04</v>
      </c>
      <c r="E27" s="16">
        <f>E22-E26</f>
        <v>0</v>
      </c>
      <c r="F27" s="16">
        <f>F22-F26</f>
        <v>0</v>
      </c>
      <c r="G27" s="16">
        <f>G22-G26</f>
        <v>0</v>
      </c>
    </row>
    <row r="28" s="1" customFormat="1" ht="15.95" customHeight="1" spans="2:7">
      <c r="B28" s="9" t="s">
        <v>138</v>
      </c>
      <c r="C28" s="8">
        <v>23</v>
      </c>
      <c r="D28" s="10"/>
      <c r="E28" s="10"/>
      <c r="F28" s="10"/>
      <c r="G28" s="10"/>
    </row>
    <row r="29" s="1" customFormat="1" ht="15.95" customHeight="1" spans="2:7">
      <c r="B29" s="9" t="s">
        <v>139</v>
      </c>
      <c r="C29" s="8">
        <v>24</v>
      </c>
      <c r="D29" s="10"/>
      <c r="E29" s="10"/>
      <c r="F29" s="10"/>
      <c r="G29" s="10"/>
    </row>
    <row r="30" s="1" customFormat="1" ht="15.95" customHeight="1" spans="2:7">
      <c r="B30" s="9" t="s">
        <v>140</v>
      </c>
      <c r="C30" s="8">
        <v>25</v>
      </c>
      <c r="D30" s="10">
        <v>2500000</v>
      </c>
      <c r="E30" s="10"/>
      <c r="F30" s="10">
        <v>2000000</v>
      </c>
      <c r="G30" s="10">
        <v>2000000</v>
      </c>
    </row>
    <row r="31" s="1" customFormat="1" ht="15.95" customHeight="1" spans="2:7">
      <c r="B31" s="9" t="s">
        <v>141</v>
      </c>
      <c r="C31" s="8">
        <v>26</v>
      </c>
      <c r="D31" s="10">
        <v>14.14</v>
      </c>
      <c r="E31" s="10">
        <v>0.64</v>
      </c>
      <c r="F31" s="10">
        <v>0.64</v>
      </c>
      <c r="G31" s="10">
        <v>0.64</v>
      </c>
    </row>
    <row r="32" s="1" customFormat="1" ht="15.95" customHeight="1" spans="2:7">
      <c r="B32" s="11" t="s">
        <v>121</v>
      </c>
      <c r="C32" s="12">
        <v>27</v>
      </c>
      <c r="D32" s="13">
        <f>SUM(D29:D31)</f>
        <v>2500014.14</v>
      </c>
      <c r="E32" s="13">
        <f>SUM(E29:E31)</f>
        <v>0.64</v>
      </c>
      <c r="F32" s="13">
        <f>SUM(F29:F31)</f>
        <v>2000000.64</v>
      </c>
      <c r="G32" s="13">
        <f>SUM(G29:G31)</f>
        <v>2000000.64</v>
      </c>
    </row>
    <row r="33" s="1" customFormat="1" ht="15.95" customHeight="1" spans="2:7">
      <c r="B33" s="9" t="s">
        <v>142</v>
      </c>
      <c r="C33" s="8">
        <v>28</v>
      </c>
      <c r="D33" s="10">
        <v>1020000</v>
      </c>
      <c r="E33" s="10"/>
      <c r="F33" s="10">
        <v>1500000</v>
      </c>
      <c r="G33" s="10">
        <v>1500000</v>
      </c>
    </row>
    <row r="34" s="1" customFormat="1" ht="15.95" customHeight="1" spans="2:7">
      <c r="B34" s="9" t="s">
        <v>143</v>
      </c>
      <c r="C34" s="8">
        <v>29</v>
      </c>
      <c r="D34" s="10"/>
      <c r="E34" s="10"/>
      <c r="F34" s="10"/>
      <c r="G34" s="10"/>
    </row>
    <row r="35" s="1" customFormat="1" ht="15.95" customHeight="1" spans="2:7">
      <c r="B35" s="9" t="s">
        <v>144</v>
      </c>
      <c r="C35" s="8">
        <v>30</v>
      </c>
      <c r="D35" s="10">
        <v>175591.66</v>
      </c>
      <c r="E35" s="10">
        <v>11680.63</v>
      </c>
      <c r="F35" s="10">
        <v>38960.62</v>
      </c>
      <c r="G35" s="10">
        <v>38960.62</v>
      </c>
    </row>
    <row r="36" s="1" customFormat="1" ht="15.95" customHeight="1" spans="2:7">
      <c r="B36" s="11" t="s">
        <v>126</v>
      </c>
      <c r="C36" s="12">
        <v>31</v>
      </c>
      <c r="D36" s="13">
        <f>SUM(D33:D35)</f>
        <v>1195591.66</v>
      </c>
      <c r="E36" s="13">
        <f>SUM(E33:E35)</f>
        <v>11680.63</v>
      </c>
      <c r="F36" s="13">
        <f>SUM(F33:F35)</f>
        <v>1538960.62</v>
      </c>
      <c r="G36" s="13">
        <f>SUM(G33:G35)</f>
        <v>1538960.62</v>
      </c>
    </row>
    <row r="37" s="1" customFormat="1" ht="15.95" customHeight="1" spans="2:7">
      <c r="B37" s="14" t="s">
        <v>145</v>
      </c>
      <c r="C37" s="15">
        <v>32</v>
      </c>
      <c r="D37" s="16">
        <f>D32-D36</f>
        <v>1304422.48</v>
      </c>
      <c r="E37" s="16">
        <f>E32-E36</f>
        <v>-11679.99</v>
      </c>
      <c r="F37" s="16">
        <f>F32-F36</f>
        <v>461040.02</v>
      </c>
      <c r="G37" s="16">
        <f>G32-G36</f>
        <v>461040.02</v>
      </c>
    </row>
    <row r="38" s="1" customFormat="1" ht="15.95" customHeight="1" spans="2:7">
      <c r="B38" s="9" t="s">
        <v>146</v>
      </c>
      <c r="C38" s="8">
        <v>33</v>
      </c>
      <c r="D38" s="10"/>
      <c r="E38" s="10"/>
      <c r="F38" s="10"/>
      <c r="G38" s="10"/>
    </row>
    <row r="39" s="1" customFormat="1" ht="15.95" customHeight="1" spans="2:7">
      <c r="B39" s="14" t="s">
        <v>147</v>
      </c>
      <c r="C39" s="15">
        <v>34</v>
      </c>
      <c r="D39" s="16">
        <f>D16+D27+D37+D38</f>
        <v>-37346.3699999999</v>
      </c>
      <c r="E39" s="16">
        <f>E16+E27+E37+E38</f>
        <v>-6829.29000000005</v>
      </c>
      <c r="F39" s="16">
        <f>F16+F27+F37+F38</f>
        <v>-45836.3300000003</v>
      </c>
      <c r="G39" s="16">
        <f>G16+G27+G37+G38</f>
        <v>-45836.3300000003</v>
      </c>
    </row>
    <row r="40" s="1" customFormat="1" ht="15.95" customHeight="1" spans="2:7">
      <c r="B40" s="9" t="s">
        <v>148</v>
      </c>
      <c r="C40" s="8">
        <v>35</v>
      </c>
      <c r="D40" s="10">
        <v>179472.99</v>
      </c>
      <c r="E40" s="10">
        <v>103119.58</v>
      </c>
      <c r="F40" s="10">
        <v>142126.62</v>
      </c>
      <c r="G40" s="10">
        <v>142126.62</v>
      </c>
    </row>
    <row r="41" s="1" customFormat="1" ht="15.95" customHeight="1" spans="2:7">
      <c r="B41" s="14" t="s">
        <v>149</v>
      </c>
      <c r="C41" s="15">
        <v>36</v>
      </c>
      <c r="D41" s="16">
        <v>142126.62</v>
      </c>
      <c r="E41" s="16">
        <v>96290.29</v>
      </c>
      <c r="F41" s="16">
        <v>96290.29</v>
      </c>
      <c r="G41" s="16">
        <v>96290.29</v>
      </c>
    </row>
    <row r="43" ht="17.25" customHeight="1" spans="2:7">
      <c r="B43" s="17" t="s">
        <v>150</v>
      </c>
    </row>
    <row r="44" spans="2:7">
      <c r="B44" s="17" t="s">
        <v>151</v>
      </c>
    </row>
    <row r="45" spans="2:7">
      <c r="B45" s="17" t="s">
        <v>152</v>
      </c>
    </row>
  </sheetData>
  <pageMargins left="0.698611111111111" right="0.698611111111111" top="0.75" bottom="0.75" header="0.3" footer="0.3"/>
  <pageSetup paperSize="9" orientation="portrait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资产负债表</vt:lpstr>
      <vt:lpstr>利润表</vt:lpstr>
      <vt:lpstr>现金流量表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木子</cp:lastModifiedBy>
  <cp:revision>1</cp:revision>
  <dcterms:created xsi:type="dcterms:W3CDTF">1996-12-17T01:32:00Z</dcterms:created>
  <cp:lastPrinted>2017-06-02T07:17:00Z</cp:lastPrinted>
  <dcterms:modified xsi:type="dcterms:W3CDTF">2026-10-08T02:31:31Z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5A3606400D6E4899881DE29307791A44_13</vt:lpwstr>
  </property>
  <property fmtid="{D5CDD505-2E9C-101B-9397-08002B2CF9AE}" pid="4" name="CalculationRule">
    <vt:i4>0</vt:i4>
  </property>
</Properties>
</file>